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i\OneDrive\Documents\New folder\"/>
    </mc:Choice>
  </mc:AlternateContent>
  <xr:revisionPtr revIDLastSave="0" documentId="13_ncr:1_{B9417A3F-0374-42ED-B1A0-6AA86DE635D5}" xr6:coauthVersionLast="47" xr6:coauthVersionMax="47" xr10:uidLastSave="{00000000-0000-0000-0000-000000000000}"/>
  <bookViews>
    <workbookView xWindow="-108" yWindow="-108" windowWidth="23256" windowHeight="12456" firstSheet="1" activeTab="1" xr2:uid="{F61DE423-2B57-4303-9486-93D9382B3A89}"/>
  </bookViews>
  <sheets>
    <sheet name="01_insights_engine" sheetId="1" r:id="rId1"/>
    <sheet name="02_ai_response_templates" sheetId="10" r:id="rId2"/>
    <sheet name="03_Insights_Output" sheetId="12" r:id="rId3"/>
    <sheet name="04_Decision_Rules" sheetId="13" r:id="rId4"/>
    <sheet name="05_User_Query_Test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4" l="1"/>
  <c r="D10" i="14"/>
  <c r="D3" i="14"/>
  <c r="D4" i="14"/>
  <c r="D5" i="14"/>
  <c r="D6" i="14"/>
  <c r="D7" i="14"/>
  <c r="D8" i="14"/>
  <c r="D9" i="14"/>
  <c r="D2" i="14"/>
  <c r="C3" i="14"/>
  <c r="C4" i="14"/>
  <c r="C5" i="14"/>
  <c r="C6" i="14"/>
  <c r="C7" i="14"/>
  <c r="C8" i="14"/>
  <c r="C9" i="14"/>
  <c r="C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F781ED-7A50-4583-873A-6F484F769AB9}" keepAlive="1" name="Query - BasicCompanyDataAsOneFile-2026-03-02" description="Connection to the 'BasicCompanyDataAsOneFile-2026-03-02' query in the workbook." type="5" refreshedVersion="8" background="1" saveData="1">
    <dbPr connection="Provider=Microsoft.Mashup.OleDb.1;Data Source=$Workbook$;Location=BasicCompanyDataAsOneFile-2026-03-02;Extended Properties=&quot;&quot;" command="SELECT * FROM [BasicCompanyDataAsOneFile-2026-03-02]"/>
  </connection>
</connections>
</file>

<file path=xl/sharedStrings.xml><?xml version="1.0" encoding="utf-8"?>
<sst xmlns="http://schemas.openxmlformats.org/spreadsheetml/2006/main" count="217" uniqueCount="171">
  <si>
    <t/>
  </si>
  <si>
    <t>Question</t>
  </si>
  <si>
    <t>Answer</t>
  </si>
  <si>
    <t>Insight Type</t>
  </si>
  <si>
    <t>Chart Reference</t>
  </si>
  <si>
    <t>Which regions have the highest business concentration?</t>
  </si>
  <si>
    <t>The highest business concentration appears in the strongest postcode regions shown in the regional density chart, suggesting that commercial activity is heavily clustered around major economic centres.</t>
  </si>
  <si>
    <t>Geographic Analysis</t>
  </si>
  <si>
    <t>top_10_regions.png</t>
  </si>
  <si>
    <t>What is the most common company type in the dataset?</t>
  </si>
  <si>
    <t>Private companies dominate the business landscape, indicating that the UK market is heavily structured around private limited company activity.</t>
  </si>
  <si>
    <t>Market Structure</t>
  </si>
  <si>
    <t>company_type_distribution.png</t>
  </si>
  <si>
    <t>Is the business structure of the market diverse?</t>
  </si>
  <si>
    <t>Although multiple company structures exist, the market remains concentrated in a few dominant categories, especially private companies, which suggests limited structural diversity.</t>
  </si>
  <si>
    <t>Market Diversity</t>
  </si>
  <si>
    <t>market_share_company_type.png</t>
  </si>
  <si>
    <t>What does regional clustering suggest about the UK market?</t>
  </si>
  <si>
    <t>Regional clustering suggests that business activity is not evenly distributed and instead concentrates in specific commercial zones with stronger economic ecosystems.</t>
  </si>
  <si>
    <t>Regional Insight</t>
  </si>
  <si>
    <t>regional_intensity.png</t>
  </si>
  <si>
    <t>Which areas show the strongest business density?</t>
  </si>
  <si>
    <t>The top postcode regions identified in the business density analysis show significantly stronger company presence than lower-ranking regions, indicating clear concentration of market activity.</t>
  </si>
  <si>
    <t>Business Density</t>
  </si>
  <si>
    <t>What does the company type market share indicate?</t>
  </si>
  <si>
    <t>The market share distribution indicates that one company type dominates the landscape, which suggests a relatively concentrated business structure rather than a highly fragmented one.</t>
  </si>
  <si>
    <t>Market Share</t>
  </si>
  <si>
    <t>How does company structure vary across regions?</t>
  </si>
  <si>
    <t>The structure-by-region chart shows that some regions are more heavily dominated by specific company types, suggesting differences in local business composition and regional economic behaviour.</t>
  </si>
  <si>
    <t>Cross Analysis</t>
  </si>
  <si>
    <t>structure_by_region.png</t>
  </si>
  <si>
    <t>What is the strategic value of postcode analysis?</t>
  </si>
  <si>
    <t>Postcode analysis helps identify business clusters, economic hotspots, and commercially important locations, making it useful for regional strategy and market entry decisions.</t>
  </si>
  <si>
    <t>Decision Support</t>
  </si>
  <si>
    <t>What does company distribution tell us about the business environment?</t>
  </si>
  <si>
    <t>The distribution of companies suggests that the UK business environment is highly uneven, with stronger concentration in key hubs and much lower intensity in peripheral regions.</t>
  </si>
  <si>
    <t>Why is this dataset useful for market intelligence?</t>
  </si>
  <si>
    <t>This dataset provides a strong foundation for market intelligence because it reveals company structure, geographic concentration, and distribution patterns that can support business decisions.</t>
  </si>
  <si>
    <t>AI Market Intelligence</t>
  </si>
  <si>
    <t>All charts</t>
  </si>
  <si>
    <t>Question Type</t>
  </si>
  <si>
    <t>Template</t>
  </si>
  <si>
    <t>Example Question</t>
  </si>
  <si>
    <t>Example Answer</t>
  </si>
  <si>
    <t>Based on the dataset, the highest concentration of companies appears in [region]. This indicates strong economic clustering and business activity in that area.</t>
  </si>
  <si>
    <t>Which region has the most companies?</t>
  </si>
  <si>
    <t>Based on the dataset, the highest concentration of companies appears in leading postcode regions, indicating strong economic clustering in major business hubs.</t>
  </si>
  <si>
    <t>The data shows that [company type] dominates the market, suggesting a strong preference for this structure within the UK business environment.</t>
  </si>
  <si>
    <t>What is the most common company type?</t>
  </si>
  <si>
    <t>The data shows that private companies dominate the market, indicating a strong preference for this structure in the UK.</t>
  </si>
  <si>
    <t>The distribution indicates that [category] holds the largest share, highlighting a concentrated market structure.</t>
  </si>
  <si>
    <t>What does the company type distribution show?</t>
  </si>
  <si>
    <t>The distribution indicates that one category holds the majority share, highlighting a concentrated market dominated by private companies.</t>
  </si>
  <si>
    <t>Regional analysis suggests that business activity is unevenly distributed, with certain areas acting as economic hubs.</t>
  </si>
  <si>
    <t>Is business evenly distributed across the UK?</t>
  </si>
  <si>
    <t>Regional analysis suggests that business activity is concentrated in specific areas, with strong clustering in key economic regions.</t>
  </si>
  <si>
    <t>The relationship between [dimension 1] and [dimension 2] shows variation across regions, indicating differences in market behaviour.</t>
  </si>
  <si>
    <t>How does company type vary by region?</t>
  </si>
  <si>
    <t>The relationship between company type and region shows variation across regions, indicating differences in local business composition.</t>
  </si>
  <si>
    <t>Business Intelligence</t>
  </si>
  <si>
    <t>This insight suggests that businesses should focus on high-density regions for expansion and strategic positioning.</t>
  </si>
  <si>
    <t>Where should businesses expand?</t>
  </si>
  <si>
    <t>Businesses should focus on high-density regions identified in the dataset, as they represent stronger market opportunities.</t>
  </si>
  <si>
    <t>The data provides a strong foundation for decision-making by highlighting key patterns in company distribution and structure.</t>
  </si>
  <si>
    <t>How can this data help decision making?</t>
  </si>
  <si>
    <t>The data highlights company distribution and structure patterns, helping businesses make informed strategic decisions.</t>
  </si>
  <si>
    <t>Insight</t>
  </si>
  <si>
    <t>Recommendation</t>
  </si>
  <si>
    <t>Data Source</t>
  </si>
  <si>
    <t>The highest business concentration appears in the leading postcode regions, showing that business activity is clustered around major economic hubs rather than being evenly distributed.</t>
  </si>
  <si>
    <t>Focus business development, partnerships, and market-entry planning on the strongest postcode regions first.</t>
  </si>
  <si>
    <t>Top 10 UK Regions by Business Density</t>
  </si>
  <si>
    <t>What is the dominant company type in the active UK market?</t>
  </si>
  <si>
    <t>Private companies dominate the active market, indicating that the UK business landscape is heavily structured around private limited company activity.</t>
  </si>
  <si>
    <t>Tailor market intelligence, product positioning, and B2B targeting around private-company needs and behaviours.</t>
  </si>
  <si>
    <t>Dominant Company Types in Active UK Market</t>
  </si>
  <si>
    <t>Is business activity evenly distributed across UK regions?</t>
  </si>
  <si>
    <t>Business activity is unevenly distributed, with clear concentration in a limited number of regions and lower intensity outside major commercial zones.</t>
  </si>
  <si>
    <t>Prioritise dense regions for scale and use lower-density regions for selective testing or niche strategies.</t>
  </si>
  <si>
    <t>Regional Business Activity Intensity</t>
  </si>
  <si>
    <t>What does company type distribution suggest about the market?</t>
  </si>
  <si>
    <t>The company type distribution suggests a concentrated market structure rather than a balanced spread across multiple legal forms.</t>
  </si>
  <si>
    <t>Build decision frameworks around the dominant structures first, then extend to smaller categories where needed.</t>
  </si>
  <si>
    <t>Market Share by Company Type</t>
  </si>
  <si>
    <t>How does company structure vary across top regions?</t>
  </si>
  <si>
    <t>Different regions show different levels of concentration by company type, suggesting that local market composition is not uniform.</t>
  </si>
  <si>
    <t>Use regional business structure patterns to refine expansion strategy, targeting, and local market positioning.</t>
  </si>
  <si>
    <t>Company Type Distribution Across Top UK Regions</t>
  </si>
  <si>
    <t>What is the strategic value of postcode-level analysis?</t>
  </si>
  <si>
    <t>Postcode-level analysis reveals micro-patterns in business concentration that would be hidden in broader regional summaries.</t>
  </si>
  <si>
    <t>Use postcode segmentation to identify high-value commercial clusters and improve local market intelligence.</t>
  </si>
  <si>
    <t>Which areas are most commercially attractive based on density?</t>
  </si>
  <si>
    <t>The most commercially attractive areas are the postcode regions with the highest concentration of active companies, as they indicate stronger business ecosystems.</t>
  </si>
  <si>
    <t>Prioritise these areas for outreach, lead generation, and partnership analysis.</t>
  </si>
  <si>
    <t>What does regional concentration imply for market entry?</t>
  </si>
  <si>
    <t>Regional concentration implies that market entry should be focused, with initial efforts directed toward business-dense regions rather than broad national coverage.</t>
  </si>
  <si>
    <t>Use a region-first go-to-market approach instead of a uniform UK-wide launch strategy.</t>
  </si>
  <si>
    <t>What does this dataset reveal about UK market structure?</t>
  </si>
  <si>
    <t>The dataset reveals a market structured around a small number of dominant company types and concentrated regional business hubs.</t>
  </si>
  <si>
    <t>Use this structure to design more targeted analytics, segmentation, and strategic planning models.</t>
  </si>
  <si>
    <t>Market Share by Company Type / Regional Intensity</t>
  </si>
  <si>
    <t>Why is this useful for decision intelligence?</t>
  </si>
  <si>
    <t>This dataset supports decision intelligence because it links business questions to clear analytical outputs, allowing insight generation to move beyond static dashboards.</t>
  </si>
  <si>
    <t>Develop repeatable decision rules so future business questions can be answered consistently and quickly.</t>
  </si>
  <si>
    <t>All analytical charts</t>
  </si>
  <si>
    <t>Condition</t>
  </si>
  <si>
    <t>Insight Template</t>
  </si>
  <si>
    <t>Recommended Action</t>
  </si>
  <si>
    <t>Category</t>
  </si>
  <si>
    <t>If a postcode region appears in the top business density group</t>
  </si>
  <si>
    <t>This region shows strong business concentration and functions as a commercial hotspot.</t>
  </si>
  <si>
    <t>Prioritise for expansion, targeting, and partnership strategy.</t>
  </si>
  <si>
    <t>Geographic</t>
  </si>
  <si>
    <t>If a company type dominates market share</t>
  </si>
  <si>
    <t>The market is structurally concentrated around a dominant company form.</t>
  </si>
  <si>
    <t>Design strategy around the dominant company segment first.</t>
  </si>
  <si>
    <t>If regional activity is uneven</t>
  </si>
  <si>
    <t>Business activity is clustered rather than evenly distributed across the market.</t>
  </si>
  <si>
    <t>Use selective regional expansion instead of broad national targeting.</t>
  </si>
  <si>
    <t>Regional Strategy</t>
  </si>
  <si>
    <t>If top regions account for a large share of business activity</t>
  </si>
  <si>
    <t>A limited number of regions drive a disproportionate share of market presence.</t>
  </si>
  <si>
    <t>Concentrate commercial intelligence efforts on these leading zones.</t>
  </si>
  <si>
    <t>Concentration</t>
  </si>
  <si>
    <t>If private companies dominate the dataset</t>
  </si>
  <si>
    <t>Private companies are the primary structural unit of the active market.</t>
  </si>
  <si>
    <t>Frame business analysis and outreach around private-company dynamics.</t>
  </si>
  <si>
    <t>Company Type</t>
  </si>
  <si>
    <t>If structural composition differs by region</t>
  </si>
  <si>
    <t>Regional markets vary in business composition and cannot be treated as identical.</t>
  </si>
  <si>
    <t>Adapt local strategy by region instead of using one national approach.</t>
  </si>
  <si>
    <t>If postcode-level clusters are visible</t>
  </si>
  <si>
    <t>Business activity is concentrated at a more granular postcode level.</t>
  </si>
  <si>
    <t>Use postcode segmentation for precise targeting and market mapping.</t>
  </si>
  <si>
    <t>Micro Geography</t>
  </si>
  <si>
    <t>If a chart supports a repeated insight across multiple questions</t>
  </si>
  <si>
    <t>The same analytical output can support multiple business questions consistently.</t>
  </si>
  <si>
    <t>Reuse chart-backed logic inside the insight engine and AI layer.</t>
  </si>
  <si>
    <t>AI Logic</t>
  </si>
  <si>
    <t>User Question</t>
  </si>
  <si>
    <t>Matched Category</t>
  </si>
  <si>
    <t>Suggested Output</t>
  </si>
  <si>
    <t>Supporting Chart</t>
  </si>
  <si>
    <t>Which regions have the strongest business activity?</t>
  </si>
  <si>
    <t>What company type dominates the active market?</t>
  </si>
  <si>
    <t>Is the UK business market evenly spread geographically?</t>
  </si>
  <si>
    <t>Where should a business focus expansion first?</t>
  </si>
  <si>
    <t>What does company type market share tell us?</t>
  </si>
  <si>
    <t>How does business composition vary across regions?</t>
  </si>
  <si>
    <t>Why is postcode analysis useful here?</t>
  </si>
  <si>
    <t>How can this project support business decisions?</t>
  </si>
  <si>
    <t>All charts / Insights_Output</t>
  </si>
  <si>
    <t>If a question asks where to focus action or expansion</t>
  </si>
  <si>
    <t>The dataset indicates that decisions should be prioritised around the strongest business regions and dominant market structures.</t>
  </si>
  <si>
    <t>Use leading regions and dominant company segments as the first basis for action planning.</t>
  </si>
  <si>
    <t>What is the best region to focus business expansion?</t>
  </si>
  <si>
    <t>Confidence Level</t>
  </si>
  <si>
    <t>High</t>
  </si>
  <si>
    <t>Medium</t>
  </si>
  <si>
    <t>Low</t>
  </si>
  <si>
    <t>Business Impact</t>
  </si>
  <si>
    <t>High Impact</t>
  </si>
  <si>
    <t>Medium impact</t>
  </si>
  <si>
    <t>Low Impact</t>
  </si>
  <si>
    <t>Medium Impact</t>
  </si>
  <si>
    <t>Use Case</t>
  </si>
  <si>
    <t>Market Expansion</t>
  </si>
  <si>
    <t>Customer Targeting</t>
  </si>
  <si>
    <t>Business Strategy</t>
  </si>
  <si>
    <t>Location Planning</t>
  </si>
  <si>
    <t>Market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</si>
</sst>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876A1-C242-4217-BA8C-2719EADA17ED}" name="Table2" displayName="Table2" ref="A1:D11" totalsRowShown="0" headerRowDxfId="5">
  <autoFilter ref="A1:D11" xr:uid="{09D876A1-C242-4217-BA8C-2719EADA17ED}"/>
  <tableColumns count="4">
    <tableColumn id="1" xr3:uid="{F765B8F7-22FC-4EB4-A49F-2BA953276A07}" name="Question"/>
    <tableColumn id="2" xr3:uid="{1A6DCEA2-7209-4E07-95B3-AD3327516F51}" name="Answer" dataDxfId="6"/>
    <tableColumn id="3" xr3:uid="{64B37472-53C8-4C31-8F72-579399C96D47}" name="Insight Type"/>
    <tableColumn id="4" xr3:uid="{49BD468B-EEB9-40D1-ADA4-7539FB9D595A}" name="Chart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CD96A3-3B2F-4E5B-AB7A-35DD25F4C049}" name="Table3" displayName="Table3" ref="A1:D8" totalsRowShown="0" headerRowDxfId="4">
  <autoFilter ref="A1:D8" xr:uid="{39CD96A3-3B2F-4E5B-AB7A-35DD25F4C049}"/>
  <tableColumns count="4">
    <tableColumn id="1" xr3:uid="{FFD0AD56-0378-4542-B586-50D70F8CBD3A}" name="Question Type"/>
    <tableColumn id="2" xr3:uid="{F2961275-69E2-404A-8920-D96F5F323A00}" name="Template"/>
    <tableColumn id="3" xr3:uid="{6645A6DC-5B77-43A5-8783-4290CC70C34A}" name="Example Question"/>
    <tableColumn id="4" xr3:uid="{B07960FE-6AB4-43A9-9068-4919F88F6A25}" name="Example Answ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D370D5-DC2A-4407-A5F9-1EDB5E84D695}" name="Table4" displayName="Table4" ref="A1:D11" totalsRowShown="0" headerRowDxfId="3">
  <autoFilter ref="A1:D11" xr:uid="{9DD370D5-DC2A-4407-A5F9-1EDB5E84D695}"/>
  <tableColumns count="4">
    <tableColumn id="1" xr3:uid="{2F7F5998-FDF8-46FE-87DE-0C5FBE202C5E}" name="Question"/>
    <tableColumn id="2" xr3:uid="{84CEAED8-B88E-4642-A7E4-0F125B746483}" name="Insight"/>
    <tableColumn id="3" xr3:uid="{244B669F-C48B-4475-A8A9-6A0266BB45AD}" name="Recommendation"/>
    <tableColumn id="4" xr3:uid="{2206041A-F42C-483A-AC25-B46621A2CAA0}" name="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89656-BF54-493A-8D72-963B8F8DCDE9}" name="Table5" displayName="Table5" ref="A1:D10" totalsRowShown="0" headerRowDxfId="2">
  <autoFilter ref="A1:D10" xr:uid="{6FB89656-BF54-493A-8D72-963B8F8DCDE9}"/>
  <tableColumns count="4">
    <tableColumn id="1" xr3:uid="{65C5C407-F575-4944-9E72-EA342D8B498C}" name="Condition"/>
    <tableColumn id="2" xr3:uid="{A4A2441C-455B-48DF-B1B9-3944964AAB6E}" name="Insight Template"/>
    <tableColumn id="3" xr3:uid="{5D8F2BE0-E004-4DA3-B3A1-98EDA95A9595}" name="Recommended Action"/>
    <tableColumn id="4" xr3:uid="{76EACC26-B1CE-43BC-9DB5-B6F451DF6A24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74701-C19E-4131-8CBC-FAA2F57CE00C}" name="Table6" displayName="Table6" ref="A1:H10" totalsRowShown="0" headerRowDxfId="1">
  <autoFilter ref="A1:H10" xr:uid="{6AB74701-C19E-4131-8CBC-FAA2F57CE00C}"/>
  <tableColumns count="8">
    <tableColumn id="1" xr3:uid="{6B11A8A5-5652-4BF1-9FD3-7339516D8D41}" name="User Question"/>
    <tableColumn id="2" xr3:uid="{B0664655-5F88-4513-A08B-72A1D80972BB}" name="Matched Category"/>
    <tableColumn id="3" xr3:uid="{09938EB5-DE01-4E94-B5DE-1ADA2D530D25}" name="Suggested Output">
      <calculatedColumnFormula>_xlfn.XLOOKUP(B2, '04_Decision_Rules'!D:D, '04_Decision_Rules'!B:B, "No match")</calculatedColumnFormula>
    </tableColumn>
    <tableColumn id="5" xr3:uid="{3F2DBB05-37D3-4606-8277-FC1E502F035C}" name="Recommended Action" dataDxfId="0">
      <calculatedColumnFormula>_xlfn.XLOOKUP(B2, '04_Decision_Rules'!D:D, '04_Decision_Rules'!C:C, "No action")</calculatedColumnFormula>
    </tableColumn>
    <tableColumn id="6" xr3:uid="{CB434FA2-F996-4C2A-AACA-F8DEB2FB4C2B}" name="Confidence Level"/>
    <tableColumn id="7" xr3:uid="{021D52C6-3541-4AB1-BC88-BC766BB91025}" name="Business Impact"/>
    <tableColumn id="8" xr3:uid="{F1B172E6-A4ED-419E-95FF-72A880EFEDEA}" name="Use Case"/>
    <tableColumn id="4" xr3:uid="{C6C3D91C-9418-42B4-9C36-70CB33745C5E}" name="Supporting Char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A271-2B87-4EF5-BB31-DF8CD51742BE}">
  <dimension ref="A1:D11"/>
  <sheetViews>
    <sheetView topLeftCell="B1" workbookViewId="0">
      <selection activeCell="B1" sqref="B1"/>
    </sheetView>
  </sheetViews>
  <sheetFormatPr defaultRowHeight="14.4" x14ac:dyDescent="0.3"/>
  <cols>
    <col min="1" max="1" width="59.21875" bestFit="1" customWidth="1"/>
    <col min="2" max="2" width="164.33203125" style="3" bestFit="1" customWidth="1"/>
    <col min="3" max="3" width="18.21875" bestFit="1" customWidth="1"/>
    <col min="4" max="4" width="28.109375" bestFit="1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">
      <c r="A2" t="s">
        <v>5</v>
      </c>
      <c r="B2" s="3" t="s">
        <v>6</v>
      </c>
      <c r="C2" t="s">
        <v>7</v>
      </c>
      <c r="D2" t="s">
        <v>8</v>
      </c>
    </row>
    <row r="3" spans="1:4" x14ac:dyDescent="0.3">
      <c r="A3" t="s">
        <v>9</v>
      </c>
      <c r="B3" s="3" t="s">
        <v>10</v>
      </c>
      <c r="C3" t="s">
        <v>11</v>
      </c>
      <c r="D3" t="s">
        <v>12</v>
      </c>
    </row>
    <row r="4" spans="1:4" x14ac:dyDescent="0.3">
      <c r="A4" t="s">
        <v>13</v>
      </c>
      <c r="B4" s="3" t="s">
        <v>14</v>
      </c>
      <c r="C4" t="s">
        <v>15</v>
      </c>
      <c r="D4" t="s">
        <v>16</v>
      </c>
    </row>
    <row r="5" spans="1:4" x14ac:dyDescent="0.3">
      <c r="A5" t="s">
        <v>17</v>
      </c>
      <c r="B5" s="3" t="s">
        <v>18</v>
      </c>
      <c r="C5" t="s">
        <v>19</v>
      </c>
      <c r="D5" t="s">
        <v>20</v>
      </c>
    </row>
    <row r="6" spans="1:4" x14ac:dyDescent="0.3">
      <c r="A6" t="s">
        <v>21</v>
      </c>
      <c r="B6" s="3" t="s">
        <v>22</v>
      </c>
      <c r="C6" t="s">
        <v>23</v>
      </c>
      <c r="D6" t="s">
        <v>8</v>
      </c>
    </row>
    <row r="7" spans="1:4" x14ac:dyDescent="0.3">
      <c r="A7" t="s">
        <v>24</v>
      </c>
      <c r="B7" s="3" t="s">
        <v>25</v>
      </c>
      <c r="C7" t="s">
        <v>26</v>
      </c>
      <c r="D7" t="s">
        <v>16</v>
      </c>
    </row>
    <row r="8" spans="1:4" x14ac:dyDescent="0.3">
      <c r="A8" t="s">
        <v>27</v>
      </c>
      <c r="B8" s="3" t="s">
        <v>28</v>
      </c>
      <c r="C8" t="s">
        <v>29</v>
      </c>
      <c r="D8" t="s">
        <v>30</v>
      </c>
    </row>
    <row r="9" spans="1:4" x14ac:dyDescent="0.3">
      <c r="A9" t="s">
        <v>31</v>
      </c>
      <c r="B9" s="3" t="s">
        <v>32</v>
      </c>
      <c r="C9" t="s">
        <v>33</v>
      </c>
      <c r="D9" t="s">
        <v>8</v>
      </c>
    </row>
    <row r="10" spans="1:4" x14ac:dyDescent="0.3">
      <c r="A10" t="s">
        <v>34</v>
      </c>
      <c r="B10" s="3" t="s">
        <v>35</v>
      </c>
      <c r="D10" t="s">
        <v>20</v>
      </c>
    </row>
    <row r="11" spans="1:4" x14ac:dyDescent="0.3">
      <c r="A11" t="s">
        <v>36</v>
      </c>
      <c r="B11" s="3" t="s">
        <v>37</v>
      </c>
      <c r="C11" t="s">
        <v>38</v>
      </c>
      <c r="D11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8601-4C93-4954-B1B4-CC51D33BF585}">
  <dimension ref="A1:E8"/>
  <sheetViews>
    <sheetView tabSelected="1" workbookViewId="0">
      <selection sqref="A1:D8"/>
    </sheetView>
  </sheetViews>
  <sheetFormatPr defaultRowHeight="14.4" x14ac:dyDescent="0.3"/>
  <cols>
    <col min="1" max="1" width="18" bestFit="1" customWidth="1"/>
    <col min="2" max="2" width="128.21875" bestFit="1" customWidth="1"/>
    <col min="3" max="3" width="39.21875" bestFit="1" customWidth="1"/>
    <col min="4" max="4" width="131.33203125" bestFit="1" customWidth="1"/>
  </cols>
  <sheetData>
    <row r="1" spans="1:5" ht="28.8" x14ac:dyDescent="0.3">
      <c r="A1" s="2" t="s">
        <v>40</v>
      </c>
      <c r="B1" s="2" t="s">
        <v>41</v>
      </c>
      <c r="C1" s="2" t="s">
        <v>42</v>
      </c>
      <c r="D1" s="2" t="s">
        <v>43</v>
      </c>
      <c r="E1" s="2"/>
    </row>
    <row r="2" spans="1:5" x14ac:dyDescent="0.3">
      <c r="A2" t="s">
        <v>7</v>
      </c>
      <c r="B2" t="s">
        <v>44</v>
      </c>
      <c r="C2" t="s">
        <v>45</v>
      </c>
      <c r="D2" t="s">
        <v>46</v>
      </c>
    </row>
    <row r="3" spans="1:5" x14ac:dyDescent="0.3">
      <c r="A3" t="s">
        <v>11</v>
      </c>
      <c r="B3" t="s">
        <v>47</v>
      </c>
      <c r="C3" t="s">
        <v>48</v>
      </c>
      <c r="D3" t="s">
        <v>49</v>
      </c>
    </row>
    <row r="4" spans="1:5" x14ac:dyDescent="0.3">
      <c r="A4" t="s">
        <v>26</v>
      </c>
      <c r="B4" t="s">
        <v>50</v>
      </c>
      <c r="C4" t="s">
        <v>51</v>
      </c>
      <c r="D4" t="s">
        <v>52</v>
      </c>
    </row>
    <row r="5" spans="1:5" x14ac:dyDescent="0.3">
      <c r="A5" t="s">
        <v>19</v>
      </c>
      <c r="B5" t="s">
        <v>53</v>
      </c>
      <c r="C5" t="s">
        <v>54</v>
      </c>
      <c r="D5" t="s">
        <v>55</v>
      </c>
    </row>
    <row r="6" spans="1:5" x14ac:dyDescent="0.3">
      <c r="A6" t="s">
        <v>29</v>
      </c>
      <c r="B6" t="s">
        <v>56</v>
      </c>
      <c r="C6" t="s">
        <v>57</v>
      </c>
      <c r="D6" t="s">
        <v>58</v>
      </c>
    </row>
    <row r="7" spans="1:5" x14ac:dyDescent="0.3">
      <c r="A7" t="s">
        <v>59</v>
      </c>
      <c r="B7" t="s">
        <v>60</v>
      </c>
      <c r="C7" t="s">
        <v>61</v>
      </c>
      <c r="D7" t="s">
        <v>62</v>
      </c>
    </row>
    <row r="8" spans="1:5" x14ac:dyDescent="0.3">
      <c r="A8" t="s">
        <v>33</v>
      </c>
      <c r="B8" t="s">
        <v>63</v>
      </c>
      <c r="C8" t="s">
        <v>64</v>
      </c>
      <c r="D8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EE89-EC04-4115-AA88-B45CCCEF538E}">
  <dimension ref="A1:D11"/>
  <sheetViews>
    <sheetView workbookViewId="0">
      <selection sqref="A1:D11"/>
    </sheetView>
  </sheetViews>
  <sheetFormatPr defaultRowHeight="14.4" x14ac:dyDescent="0.3"/>
  <cols>
    <col min="1" max="1" width="10.33203125" customWidth="1"/>
    <col min="3" max="3" width="17.6640625" customWidth="1"/>
    <col min="4" max="4" width="12.88671875" customWidth="1"/>
  </cols>
  <sheetData>
    <row r="1" spans="1:4" ht="28.8" x14ac:dyDescent="0.3">
      <c r="A1" s="2" t="s">
        <v>1</v>
      </c>
      <c r="B1" s="2" t="s">
        <v>66</v>
      </c>
      <c r="C1" s="2" t="s">
        <v>67</v>
      </c>
      <c r="D1" s="2" t="s">
        <v>68</v>
      </c>
    </row>
    <row r="2" spans="1:4" x14ac:dyDescent="0.3">
      <c r="A2" t="s">
        <v>5</v>
      </c>
      <c r="B2" t="s">
        <v>69</v>
      </c>
      <c r="C2" t="s">
        <v>70</v>
      </c>
      <c r="D2" t="s">
        <v>71</v>
      </c>
    </row>
    <row r="3" spans="1:4" x14ac:dyDescent="0.3">
      <c r="A3" t="s">
        <v>72</v>
      </c>
      <c r="B3" t="s">
        <v>73</v>
      </c>
      <c r="C3" t="s">
        <v>74</v>
      </c>
      <c r="D3" t="s">
        <v>75</v>
      </c>
    </row>
    <row r="4" spans="1:4" x14ac:dyDescent="0.3">
      <c r="A4" t="s">
        <v>76</v>
      </c>
      <c r="B4" t="s">
        <v>77</v>
      </c>
      <c r="C4" t="s">
        <v>78</v>
      </c>
      <c r="D4" t="s">
        <v>79</v>
      </c>
    </row>
    <row r="5" spans="1:4" x14ac:dyDescent="0.3">
      <c r="A5" t="s">
        <v>80</v>
      </c>
      <c r="B5" t="s">
        <v>81</v>
      </c>
      <c r="C5" t="s">
        <v>82</v>
      </c>
      <c r="D5" t="s">
        <v>83</v>
      </c>
    </row>
    <row r="6" spans="1:4" x14ac:dyDescent="0.3">
      <c r="A6" t="s">
        <v>84</v>
      </c>
      <c r="B6" t="s">
        <v>85</v>
      </c>
      <c r="C6" t="s">
        <v>86</v>
      </c>
      <c r="D6" t="s">
        <v>87</v>
      </c>
    </row>
    <row r="7" spans="1:4" x14ac:dyDescent="0.3">
      <c r="A7" t="s">
        <v>88</v>
      </c>
      <c r="B7" t="s">
        <v>89</v>
      </c>
      <c r="C7" t="s">
        <v>90</v>
      </c>
      <c r="D7" t="s">
        <v>71</v>
      </c>
    </row>
    <row r="8" spans="1:4" x14ac:dyDescent="0.3">
      <c r="A8" t="s">
        <v>91</v>
      </c>
      <c r="B8" t="s">
        <v>92</v>
      </c>
      <c r="C8" t="s">
        <v>93</v>
      </c>
      <c r="D8" t="s">
        <v>71</v>
      </c>
    </row>
    <row r="9" spans="1:4" x14ac:dyDescent="0.3">
      <c r="A9" t="s">
        <v>94</v>
      </c>
      <c r="B9" t="s">
        <v>95</v>
      </c>
      <c r="C9" t="s">
        <v>96</v>
      </c>
      <c r="D9" t="s">
        <v>79</v>
      </c>
    </row>
    <row r="10" spans="1:4" x14ac:dyDescent="0.3">
      <c r="A10" t="s">
        <v>97</v>
      </c>
      <c r="B10" t="s">
        <v>98</v>
      </c>
      <c r="C10" t="s">
        <v>99</v>
      </c>
      <c r="D10" t="s">
        <v>100</v>
      </c>
    </row>
    <row r="11" spans="1:4" x14ac:dyDescent="0.3">
      <c r="A11" t="s">
        <v>101</v>
      </c>
      <c r="B11" t="s">
        <v>102</v>
      </c>
      <c r="C11" t="s">
        <v>103</v>
      </c>
      <c r="D11" t="s">
        <v>104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62AD-7BF0-4A98-8D25-FBB5898B9967}">
  <dimension ref="A1:D10"/>
  <sheetViews>
    <sheetView workbookViewId="0">
      <selection activeCell="C12" sqref="C12"/>
    </sheetView>
  </sheetViews>
  <sheetFormatPr defaultRowHeight="14.4" x14ac:dyDescent="0.3"/>
  <cols>
    <col min="1" max="1" width="11" customWidth="1"/>
    <col min="2" max="2" width="16.6640625" customWidth="1"/>
    <col min="3" max="3" width="21.21875" customWidth="1"/>
    <col min="4" max="4" width="14.77734375" bestFit="1" customWidth="1"/>
  </cols>
  <sheetData>
    <row r="1" spans="1:4" ht="43.2" x14ac:dyDescent="0.3">
      <c r="A1" s="2" t="s">
        <v>105</v>
      </c>
      <c r="B1" s="2" t="s">
        <v>106</v>
      </c>
      <c r="C1" s="2" t="s">
        <v>107</v>
      </c>
      <c r="D1" s="2" t="s">
        <v>108</v>
      </c>
    </row>
    <row r="2" spans="1:4" x14ac:dyDescent="0.3">
      <c r="A2" t="s">
        <v>109</v>
      </c>
      <c r="B2" t="s">
        <v>110</v>
      </c>
      <c r="C2" t="s">
        <v>111</v>
      </c>
      <c r="D2" t="s">
        <v>112</v>
      </c>
    </row>
    <row r="3" spans="1:4" x14ac:dyDescent="0.3">
      <c r="A3" t="s">
        <v>113</v>
      </c>
      <c r="B3" t="s">
        <v>114</v>
      </c>
      <c r="C3" t="s">
        <v>115</v>
      </c>
      <c r="D3" t="s">
        <v>11</v>
      </c>
    </row>
    <row r="4" spans="1:4" x14ac:dyDescent="0.3">
      <c r="A4" t="s">
        <v>116</v>
      </c>
      <c r="B4" t="s">
        <v>117</v>
      </c>
      <c r="C4" t="s">
        <v>118</v>
      </c>
      <c r="D4" t="s">
        <v>119</v>
      </c>
    </row>
    <row r="5" spans="1:4" x14ac:dyDescent="0.3">
      <c r="A5" t="s">
        <v>120</v>
      </c>
      <c r="B5" t="s">
        <v>121</v>
      </c>
      <c r="C5" t="s">
        <v>122</v>
      </c>
      <c r="D5" t="s">
        <v>123</v>
      </c>
    </row>
    <row r="6" spans="1:4" x14ac:dyDescent="0.3">
      <c r="A6" t="s">
        <v>124</v>
      </c>
      <c r="B6" t="s">
        <v>125</v>
      </c>
      <c r="C6" t="s">
        <v>126</v>
      </c>
      <c r="D6" t="s">
        <v>127</v>
      </c>
    </row>
    <row r="7" spans="1:4" x14ac:dyDescent="0.3">
      <c r="A7" t="s">
        <v>128</v>
      </c>
      <c r="B7" t="s">
        <v>129</v>
      </c>
      <c r="C7" t="s">
        <v>130</v>
      </c>
      <c r="D7" t="s">
        <v>29</v>
      </c>
    </row>
    <row r="8" spans="1:4" x14ac:dyDescent="0.3">
      <c r="A8" t="s">
        <v>131</v>
      </c>
      <c r="B8" t="s">
        <v>132</v>
      </c>
      <c r="C8" t="s">
        <v>133</v>
      </c>
      <c r="D8" t="s">
        <v>134</v>
      </c>
    </row>
    <row r="9" spans="1:4" x14ac:dyDescent="0.3">
      <c r="A9" t="s">
        <v>135</v>
      </c>
      <c r="B9" t="s">
        <v>136</v>
      </c>
      <c r="C9" t="s">
        <v>137</v>
      </c>
      <c r="D9" t="s">
        <v>138</v>
      </c>
    </row>
    <row r="10" spans="1:4" x14ac:dyDescent="0.3">
      <c r="A10" t="s">
        <v>152</v>
      </c>
      <c r="B10" t="s">
        <v>153</v>
      </c>
      <c r="C10" t="s">
        <v>154</v>
      </c>
      <c r="D10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84CD-467C-4748-9690-D40046CABFB4}">
  <dimension ref="A1:I10"/>
  <sheetViews>
    <sheetView workbookViewId="0">
      <selection activeCell="E22" sqref="E22"/>
    </sheetView>
  </sheetViews>
  <sheetFormatPr defaultRowHeight="14.4" x14ac:dyDescent="0.3"/>
  <cols>
    <col min="1" max="1" width="46.21875" bestFit="1" customWidth="1"/>
    <col min="2" max="2" width="18" customWidth="1"/>
    <col min="3" max="3" width="50" customWidth="1"/>
    <col min="4" max="5" width="9.88671875" customWidth="1"/>
    <col min="6" max="7" width="19" customWidth="1"/>
    <col min="8" max="8" width="16.88671875" customWidth="1"/>
  </cols>
  <sheetData>
    <row r="1" spans="1:9" x14ac:dyDescent="0.3">
      <c r="A1" s="2" t="s">
        <v>139</v>
      </c>
      <c r="B1" s="2" t="s">
        <v>140</v>
      </c>
      <c r="C1" s="2" t="s">
        <v>141</v>
      </c>
      <c r="D1" s="2" t="s">
        <v>107</v>
      </c>
      <c r="E1" s="2" t="s">
        <v>156</v>
      </c>
      <c r="F1" s="2" t="s">
        <v>160</v>
      </c>
      <c r="G1" s="2" t="s">
        <v>165</v>
      </c>
      <c r="H1" s="2" t="s">
        <v>142</v>
      </c>
      <c r="I1" s="2"/>
    </row>
    <row r="2" spans="1:9" x14ac:dyDescent="0.3">
      <c r="A2" t="s">
        <v>143</v>
      </c>
      <c r="B2" t="s">
        <v>112</v>
      </c>
      <c r="C2" t="str">
        <f>_xlfn.XLOOKUP(B2, '04_Decision_Rules'!D:D, '04_Decision_Rules'!B:B, "No match")</f>
        <v>This region shows strong business concentration and functions as a commercial hotspot.</v>
      </c>
      <c r="D2" t="str">
        <f>_xlfn.XLOOKUP(B2, '04_Decision_Rules'!D:D, '04_Decision_Rules'!C:C, "No action")</f>
        <v>Prioritise for expansion, targeting, and partnership strategy.</v>
      </c>
      <c r="E2" t="s">
        <v>157</v>
      </c>
      <c r="F2" t="s">
        <v>161</v>
      </c>
      <c r="G2" t="s">
        <v>166</v>
      </c>
      <c r="H2" t="s">
        <v>71</v>
      </c>
    </row>
    <row r="3" spans="1:9" x14ac:dyDescent="0.3">
      <c r="A3" t="s">
        <v>144</v>
      </c>
      <c r="B3" t="s">
        <v>11</v>
      </c>
      <c r="C3" t="str">
        <f>_xlfn.XLOOKUP(B3, '04_Decision_Rules'!D:D, '04_Decision_Rules'!B:B, "No match")</f>
        <v>The market is structurally concentrated around a dominant company form.</v>
      </c>
      <c r="D3" t="str">
        <f>_xlfn.XLOOKUP(B3, '04_Decision_Rules'!D:D, '04_Decision_Rules'!C:C, "No action")</f>
        <v>Design strategy around the dominant company segment first.</v>
      </c>
      <c r="E3" t="s">
        <v>157</v>
      </c>
      <c r="F3" t="s">
        <v>161</v>
      </c>
      <c r="G3" t="s">
        <v>167</v>
      </c>
      <c r="H3" t="s">
        <v>75</v>
      </c>
    </row>
    <row r="4" spans="1:9" x14ac:dyDescent="0.3">
      <c r="A4" t="s">
        <v>145</v>
      </c>
      <c r="B4" t="s">
        <v>119</v>
      </c>
      <c r="C4" t="str">
        <f>_xlfn.XLOOKUP(B4, '04_Decision_Rules'!D:D, '04_Decision_Rules'!B:B, "No match")</f>
        <v>Business activity is clustered rather than evenly distributed across the market.</v>
      </c>
      <c r="D4" t="str">
        <f>_xlfn.XLOOKUP(B4, '04_Decision_Rules'!D:D, '04_Decision_Rules'!C:C, "No action")</f>
        <v>Use selective regional expansion instead of broad national targeting.</v>
      </c>
      <c r="E4" t="s">
        <v>158</v>
      </c>
      <c r="F4" t="s">
        <v>162</v>
      </c>
      <c r="G4" t="s">
        <v>168</v>
      </c>
      <c r="H4" t="s">
        <v>79</v>
      </c>
    </row>
    <row r="5" spans="1:9" x14ac:dyDescent="0.3">
      <c r="A5" t="s">
        <v>146</v>
      </c>
      <c r="B5" t="s">
        <v>33</v>
      </c>
      <c r="C5" t="str">
        <f>_xlfn.XLOOKUP(B5, '04_Decision_Rules'!D:D, '04_Decision_Rules'!B:B, "No match")</f>
        <v>The dataset indicates that decisions should be prioritised around the strongest business regions and dominant market structures.</v>
      </c>
      <c r="D5" t="str">
        <f>_xlfn.XLOOKUP(B5, '04_Decision_Rules'!D:D, '04_Decision_Rules'!C:C, "No action")</f>
        <v>Use leading regions and dominant company segments as the first basis for action planning.</v>
      </c>
      <c r="E5" t="s">
        <v>158</v>
      </c>
      <c r="F5" t="s">
        <v>162</v>
      </c>
      <c r="G5" t="s">
        <v>169</v>
      </c>
      <c r="H5" t="s">
        <v>71</v>
      </c>
    </row>
    <row r="6" spans="1:9" x14ac:dyDescent="0.3">
      <c r="A6" t="s">
        <v>147</v>
      </c>
      <c r="B6" t="s">
        <v>11</v>
      </c>
      <c r="C6" t="str">
        <f>_xlfn.XLOOKUP(B6, '04_Decision_Rules'!D:D, '04_Decision_Rules'!B:B, "No match")</f>
        <v>The market is structurally concentrated around a dominant company form.</v>
      </c>
      <c r="D6" t="str">
        <f>_xlfn.XLOOKUP(B6, '04_Decision_Rules'!D:D, '04_Decision_Rules'!C:C, "No action")</f>
        <v>Design strategy around the dominant company segment first.</v>
      </c>
      <c r="E6" t="s">
        <v>159</v>
      </c>
      <c r="F6" t="s">
        <v>163</v>
      </c>
      <c r="G6" t="s">
        <v>170</v>
      </c>
      <c r="H6" t="s">
        <v>83</v>
      </c>
    </row>
    <row r="7" spans="1:9" x14ac:dyDescent="0.3">
      <c r="A7" t="s">
        <v>148</v>
      </c>
      <c r="B7" t="s">
        <v>29</v>
      </c>
      <c r="C7" t="str">
        <f>_xlfn.XLOOKUP(B7, '04_Decision_Rules'!D:D, '04_Decision_Rules'!B:B, "No match")</f>
        <v>Regional markets vary in business composition and cannot be treated as identical.</v>
      </c>
      <c r="D7" t="str">
        <f>_xlfn.XLOOKUP(B7, '04_Decision_Rules'!D:D, '04_Decision_Rules'!C:C, "No action")</f>
        <v>Adapt local strategy by region instead of using one national approach.</v>
      </c>
      <c r="E7" t="s">
        <v>157</v>
      </c>
      <c r="F7" t="s">
        <v>161</v>
      </c>
      <c r="G7" t="s">
        <v>33</v>
      </c>
      <c r="H7" t="s">
        <v>87</v>
      </c>
    </row>
    <row r="8" spans="1:9" x14ac:dyDescent="0.3">
      <c r="A8" t="s">
        <v>149</v>
      </c>
      <c r="B8" t="s">
        <v>134</v>
      </c>
      <c r="C8" t="str">
        <f>_xlfn.XLOOKUP(B8, '04_Decision_Rules'!D:D, '04_Decision_Rules'!B:B, "No match")</f>
        <v>Business activity is concentrated at a more granular postcode level.</v>
      </c>
      <c r="D8" t="str">
        <f>_xlfn.XLOOKUP(B8, '04_Decision_Rules'!D:D, '04_Decision_Rules'!C:C, "No action")</f>
        <v>Use postcode segmentation for precise targeting and market mapping.</v>
      </c>
      <c r="E8" t="s">
        <v>159</v>
      </c>
      <c r="F8" t="s">
        <v>163</v>
      </c>
      <c r="H8" t="s">
        <v>71</v>
      </c>
    </row>
    <row r="9" spans="1:9" x14ac:dyDescent="0.3">
      <c r="A9" t="s">
        <v>150</v>
      </c>
      <c r="B9" t="s">
        <v>138</v>
      </c>
      <c r="C9" t="str">
        <f>_xlfn.XLOOKUP(B9, '04_Decision_Rules'!D:D, '04_Decision_Rules'!B:B, "No match")</f>
        <v>The same analytical output can support multiple business questions consistently.</v>
      </c>
      <c r="D9" t="str">
        <f>_xlfn.XLOOKUP(B9, '04_Decision_Rules'!D:D, '04_Decision_Rules'!C:C, "No action")</f>
        <v>Reuse chart-backed logic inside the insight engine and AI layer.</v>
      </c>
      <c r="E9" t="s">
        <v>158</v>
      </c>
      <c r="F9" t="s">
        <v>164</v>
      </c>
      <c r="H9" t="s">
        <v>151</v>
      </c>
    </row>
    <row r="10" spans="1:9" x14ac:dyDescent="0.3">
      <c r="A10" t="s">
        <v>155</v>
      </c>
      <c r="B10" t="s">
        <v>33</v>
      </c>
      <c r="C10" t="str">
        <f>_xlfn.XLOOKUP(B10, '04_Decision_Rules'!D:D, '04_Decision_Rules'!B:B, "No match")</f>
        <v>The dataset indicates that decisions should be prioritised around the strongest business regions and dominant market structures.</v>
      </c>
      <c r="D10" s="1" t="str">
        <f>_xlfn.XLOOKUP(B10, '04_Decision_Rules'!D:D, '04_Decision_Rules'!C:C, "No action")</f>
        <v>Use leading regions and dominant company segments as the first basis for action planning.</v>
      </c>
      <c r="E10" s="1" t="s">
        <v>157</v>
      </c>
      <c r="F10" t="s">
        <v>161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C6283-1DD9-4870-AF66-2043CE3E40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01_insights_engine</vt:lpstr>
      <vt:lpstr>02_ai_response_templates</vt:lpstr>
      <vt:lpstr>03_Insights_Output</vt:lpstr>
      <vt:lpstr>04_Decision_Rules</vt:lpstr>
      <vt:lpstr>05_User_Query_Test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Khan</dc:creator>
  <cp:lastModifiedBy>Kamran Khan</cp:lastModifiedBy>
  <dcterms:created xsi:type="dcterms:W3CDTF">2026-03-17T03:02:47Z</dcterms:created>
  <dcterms:modified xsi:type="dcterms:W3CDTF">2026-03-17T21:52:57Z</dcterms:modified>
</cp:coreProperties>
</file>